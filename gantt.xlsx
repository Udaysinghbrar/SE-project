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600" windowHeight="8860"/>
  </bookViews>
  <sheets>
    <sheet name="ProjectSchedule" sheetId="1" r:id="rId1"/>
    <sheet name="About" sheetId="2" r:id="rId2"/>
  </sheets>
  <definedNames>
    <definedName name="valuevx">42.314159</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_xlnm.Print_Titles" localSheetId="0">ProjectSchedule!$4:$6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Vertex42.com Templates</author>
  </authors>
  <commentList>
    <comment ref="H6" authorId="0">
      <text>
        <r>
          <rPr>
            <sz val="10"/>
            <rFont val="SimSun"/>
            <charset val="134"/>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<sst xmlns="http://schemas.openxmlformats.org/spreadsheetml/2006/main" count="75" uniqueCount="54">
  <si>
    <t>StitchPerfect – Digital Tailor Shop Management System</t>
  </si>
  <si>
    <t>Uday Singh | Roll No: 1024160031</t>
  </si>
  <si>
    <t>Project Start:</t>
  </si>
  <si>
    <t>Solo Developer – Frontend Developer, System Designer &amp; Project Coordinator</t>
  </si>
  <si>
    <t>Today:</t>
  </si>
  <si>
    <t>Display Week:</t>
  </si>
  <si>
    <t>TASK</t>
  </si>
  <si>
    <t>ASSIGNED
TO</t>
  </si>
  <si>
    <t>PROGRESS</t>
  </si>
  <si>
    <t>START</t>
  </si>
  <si>
    <t>END</t>
  </si>
  <si>
    <t>DAYS</t>
  </si>
  <si>
    <t>Week 1: Project Ideation &amp; Problem Identification</t>
  </si>
  <si>
    <t>Problem analysis &amp; project ideation</t>
  </si>
  <si>
    <t>Uday Singh</t>
  </si>
  <si>
    <t>Identify traditional tailor shop challenges</t>
  </si>
  <si>
    <t>Define users &amp; objectives of StitchPerfect</t>
  </si>
  <si>
    <t>Week 2: Requirement Analysis &amp; System Planning</t>
  </si>
  <si>
    <t>Define functional requirements &amp; modules</t>
  </si>
  <si>
    <t>Plan order, measurement &amp; worker workflows</t>
  </si>
  <si>
    <t>Plan system architecture &amp; database structure</t>
  </si>
  <si>
    <t>Week 3: UI/UX Design &amp; Frontend Planning</t>
  </si>
  <si>
    <t>Design navigation flow &amp; user interfaces</t>
  </si>
  <si>
    <t>Plan Admin Panel &amp; Worker Console</t>
  </si>
  <si>
    <t>Create reusable responsive UI component plan</t>
  </si>
  <si>
    <t>Week 4: Frontend Development</t>
  </si>
  <si>
    <t>Develop main pages &amp; navigation</t>
  </si>
  <si>
    <t>Build customer and order interfaces</t>
  </si>
  <si>
    <t>Create initial Admin Panel &amp; Worker Console</t>
  </si>
  <si>
    <t>Implement responsive layouts</t>
  </si>
  <si>
    <t>Week 5: Frontend Modules &amp; System Diagrams</t>
  </si>
  <si>
    <t>Complete major frontend modules</t>
  </si>
  <si>
    <t>Develop delivery &amp; ready-product interfaces</t>
  </si>
  <si>
    <t>Prepare Level-0, Level-1 &amp; Level-3 DFDs</t>
  </si>
  <si>
    <t>Refine navigation, forms &amp; user experience</t>
  </si>
  <si>
    <t>Week 6: Frontend Completion &amp; Backend Planning</t>
  </si>
  <si>
    <t>Finalize frontend interfaces &amp; workflows</t>
  </si>
  <si>
    <t>Review frontend and identify integration areas</t>
  </si>
  <si>
    <t>Insert new rows ABOVE this one</t>
  </si>
  <si>
    <t>Current Status: Planning, UI/UX, Frontend &amp; System Diagrams Completed | Backend, Database &amp; Integration Pending</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</si>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</sst>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yy"/>
    <numFmt numFmtId="177" formatCode="m/d/yy;@"/>
    <numFmt numFmtId="178" formatCode="mmm\ d\,\ yyyy"/>
    <numFmt numFmtId="179" formatCode="d"/>
  </numFmts>
  <fonts count="47">
    <font>
      <sz val="11"/>
      <color theme="1"/>
      <name val="Calibri"/>
      <charset val="134"/>
      <scheme val="minor"/>
    </font>
    <font>
      <b/>
      <sz val="10"/>
      <name val="Calibri"/>
      <charset val="134"/>
      <scheme val="minor"/>
    </font>
    <font>
      <sz val="10"/>
      <name val="Calibri"/>
      <charset val="134"/>
      <scheme val="minor"/>
    </font>
    <font>
      <sz val="20"/>
      <name val="Calibri"/>
      <charset val="134"/>
      <scheme val="major"/>
    </font>
    <font>
      <b/>
      <sz val="12"/>
      <color theme="1" tint="0.349986266670736"/>
      <name val="Calibri"/>
      <charset val="134"/>
      <scheme val="minor"/>
    </font>
    <font>
      <sz val="11"/>
      <color theme="1" tint="0.499984740745262"/>
      <name val="Calibri"/>
      <charset val="134"/>
      <scheme val="minor"/>
    </font>
    <font>
      <sz val="10"/>
      <color theme="1" tint="0.349986266670736"/>
      <name val="Calibri"/>
      <charset val="134"/>
      <scheme val="minor"/>
    </font>
    <font>
      <b/>
      <sz val="16"/>
      <color theme="4" tint="-0.249977111117893"/>
      <name val="Calibri"/>
      <charset val="134"/>
      <scheme val="major"/>
    </font>
    <font>
      <sz val="11"/>
      <color rgb="FF1D2129"/>
      <name val="Calibri"/>
      <charset val="134"/>
      <scheme val="minor"/>
    </font>
    <font>
      <u/>
      <sz val="11"/>
      <color indexed="12"/>
      <name val="Arial"/>
      <charset val="134"/>
    </font>
    <font>
      <b/>
      <sz val="22"/>
      <color theme="1" tint="0.349986266670736"/>
      <name val="Calibri"/>
      <charset val="134"/>
      <scheme val="major"/>
    </font>
    <font>
      <b/>
      <sz val="20"/>
      <color theme="4" tint="-0.249977111117893"/>
      <name val="Calibri"/>
      <charset val="134"/>
      <scheme val="major"/>
    </font>
    <font>
      <sz val="14"/>
      <color theme="1"/>
      <name val="Calibri"/>
      <charset val="134"/>
      <scheme val="minor"/>
    </font>
    <font>
      <sz val="16"/>
      <color theme="1"/>
      <name val="Calibri"/>
      <charset val="134"/>
      <scheme val="minor"/>
    </font>
    <font>
      <b/>
      <sz val="9"/>
      <color theme="0"/>
      <name val="Calibri"/>
      <charset val="134"/>
      <scheme val="minor"/>
    </font>
    <font>
      <sz val="11"/>
      <name val="Calibri"/>
      <charset val="134"/>
      <scheme val="minor"/>
    </font>
    <font>
      <b/>
      <sz val="11"/>
      <color theme="1"/>
      <name val="Calibri"/>
      <charset val="134"/>
      <scheme val="minor"/>
    </font>
    <font>
      <i/>
      <sz val="9"/>
      <color theme="1"/>
      <name val="Calibri"/>
      <charset val="134"/>
      <scheme val="minor"/>
    </font>
    <font>
      <b/>
      <sz val="11"/>
      <color theme="1" tint="0.499984740745262"/>
      <name val="Calibri"/>
      <charset val="134"/>
      <scheme val="minor"/>
    </font>
    <font>
      <sz val="9"/>
      <color theme="1" tint="0.499984740745262"/>
      <name val="Arial"/>
      <charset val="134"/>
    </font>
    <font>
      <sz val="10"/>
      <color theme="1" tint="0.499984740745262"/>
      <name val="Arial"/>
      <charset val="134"/>
    </font>
    <font>
      <sz val="10"/>
      <color theme="1" tint="0.499984740745262"/>
      <name val="Calibri"/>
      <charset val="134"/>
      <scheme val="minor"/>
    </font>
    <font>
      <sz val="11"/>
      <color theme="0"/>
      <name val="Calibri"/>
      <charset val="134"/>
      <scheme val="minor"/>
    </font>
    <font>
      <sz val="10"/>
      <color theme="0" tint="-0.499984740745262"/>
      <name val="Calibri"/>
      <charset val="134"/>
      <scheme val="minor"/>
    </font>
    <font>
      <u/>
      <sz val="9"/>
      <color theme="4" tint="-0.249977111117893"/>
      <name val="Arial"/>
      <charset val="134"/>
    </font>
    <font>
      <sz val="9"/>
      <name val="Calibri"/>
      <charset val="134"/>
      <scheme val="minor"/>
    </font>
    <font>
      <sz val="8"/>
      <color theme="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47">
    <fill>
      <patternFill patternType="none"/>
    </fill>
    <fill>
      <patternFill patternType="gray125"/>
    </fill>
    <fill>
      <patternFill patternType="solid">
        <fgColor theme="1" tint="0.349986266670736"/>
        <bgColor theme="4"/>
      </patternFill>
    </fill>
    <fill>
      <patternFill patternType="solid">
        <fgColor theme="4" tint="0.59999389629810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0" tint="-0.0499893185216834"/>
        <bgColor indexed="64"/>
      </patternFill>
    </fill>
    <fill>
      <patternFill patternType="solid">
        <fgColor theme="0" tint="-0.149998474074526"/>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style="thin">
        <color theme="0" tint="-0.349986266670736"/>
      </top>
      <bottom/>
      <diagonal/>
    </border>
    <border>
      <left/>
      <right/>
      <top style="medium">
        <color theme="0" tint="-0.14996795556505"/>
      </top>
      <bottom style="medium">
        <color theme="0" tint="-0.14996795556505"/>
      </bottom>
      <diagonal/>
    </border>
    <border>
      <left style="thin">
        <color theme="0" tint="-0.349986266670736"/>
      </left>
      <right style="thin">
        <color theme="0" tint="-0.349986266670736"/>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diagonal/>
    </border>
    <border>
      <left style="thin">
        <color theme="0" tint="-0.349986266670736"/>
      </left>
      <right/>
      <top/>
      <bottom/>
      <diagonal/>
    </border>
    <border>
      <left style="thin">
        <color theme="0" tint="-0.349986266670736"/>
      </left>
      <right style="thin">
        <color theme="0" tint="-0.349986266670736"/>
      </right>
      <top/>
      <bottom style="medium">
        <color theme="0" tint="-0.14996795556505"/>
      </bottom>
      <diagonal/>
    </border>
    <border>
      <left style="thin">
        <color theme="0" tint="-0.149937437055574"/>
      </left>
      <right style="thin">
        <color theme="0" tint="-0.149937437055574"/>
      </right>
      <top style="medium">
        <color theme="0" tint="-0.14996795556505"/>
      </top>
      <bottom style="medium">
        <color theme="0" tint="-0.14996795556505"/>
      </bottom>
      <diagonal/>
    </border>
    <border>
      <left/>
      <right style="thin">
        <color theme="0" tint="-0.349986266670736"/>
      </right>
      <top style="thin">
        <color theme="0" tint="-0.349986266670736"/>
      </top>
      <bottom/>
      <diagonal/>
    </border>
    <border>
      <left/>
      <right style="thin">
        <color theme="0" tint="-0.349986266670736"/>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0" fillId="0" borderId="0"/>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9" fillId="0" borderId="0">
      <alignment vertical="top"/>
      <protection locked="0"/>
    </xf>
    <xf numFmtId="0" fontId="28" fillId="0" borderId="0" applyNumberFormat="0" applyFill="0" applyBorder="0" applyAlignment="0" applyProtection="0">
      <alignment vertical="center"/>
    </xf>
    <xf numFmtId="0" fontId="27" fillId="16" borderId="1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2" applyNumberFormat="0" applyFill="0" applyAlignment="0" applyProtection="0">
      <alignment vertical="center"/>
    </xf>
    <xf numFmtId="0" fontId="33" fillId="0" borderId="12" applyNumberFormat="0" applyFill="0" applyAlignment="0" applyProtection="0">
      <alignment vertical="center"/>
    </xf>
    <xf numFmtId="0" fontId="34" fillId="0" borderId="13" applyNumberFormat="0" applyFill="0" applyAlignment="0" applyProtection="0">
      <alignment vertical="center"/>
    </xf>
    <xf numFmtId="0" fontId="34" fillId="0" borderId="0" applyNumberFormat="0" applyFill="0" applyBorder="0" applyAlignment="0" applyProtection="0">
      <alignment vertical="center"/>
    </xf>
    <xf numFmtId="0" fontId="35" fillId="17" borderId="14" applyNumberFormat="0" applyAlignment="0" applyProtection="0">
      <alignment vertical="center"/>
    </xf>
    <xf numFmtId="0" fontId="36" fillId="18" borderId="15" applyNumberFormat="0" applyAlignment="0" applyProtection="0">
      <alignment vertical="center"/>
    </xf>
    <xf numFmtId="0" fontId="37" fillId="18" borderId="14" applyNumberFormat="0" applyAlignment="0" applyProtection="0">
      <alignment vertical="center"/>
    </xf>
    <xf numFmtId="0" fontId="38" fillId="19" borderId="16" applyNumberFormat="0" applyAlignment="0" applyProtection="0">
      <alignment vertical="center"/>
    </xf>
    <xf numFmtId="0" fontId="39" fillId="0" borderId="17" applyNumberFormat="0" applyFill="0" applyAlignment="0" applyProtection="0">
      <alignment vertical="center"/>
    </xf>
    <xf numFmtId="0" fontId="40" fillId="0" borderId="18" applyNumberFormat="0" applyFill="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4" fillId="46" borderId="0" applyNumberFormat="0" applyBorder="0" applyAlignment="0" applyProtection="0">
      <alignment vertical="center"/>
    </xf>
  </cellStyleXfs>
  <cellXfs count="11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2" fillId="0" borderId="0" xfId="0" applyFont="1"/>
    <xf numFmtId="0" fontId="2" fillId="0" borderId="0" xfId="0" applyFont="1" applyAlignment="1">
      <alignment vertical="top"/>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horizontal="left" vertical="top" wrapText="1" indent="1"/>
    </xf>
    <xf numFmtId="0" fontId="8" fillId="0" borderId="0" xfId="0" applyFont="1" applyAlignment="1">
      <alignment vertical="top" wrapText="1"/>
    </xf>
    <xf numFmtId="0" fontId="9" fillId="0" borderId="0" xfId="6" applyAlignment="1" applyProtection="1">
      <alignment horizontal="left" indent="1"/>
    </xf>
    <xf numFmtId="0" fontId="0" fillId="0" borderId="0" xfId="0" applyAlignment="1">
      <alignment vertical="center"/>
    </xf>
    <xf numFmtId="0" fontId="0" fillId="0" borderId="0" xfId="0" applyAlignment="1">
      <alignment horizontal="center"/>
    </xf>
    <xf numFmtId="0" fontId="10" fillId="0" borderId="0" xfId="0" applyFont="1" applyAlignment="1">
      <alignment horizontal="left"/>
    </xf>
    <xf numFmtId="0" fontId="11" fillId="0" borderId="0" xfId="0" applyFont="1" applyAlignment="1">
      <alignment horizontal="left"/>
    </xf>
    <xf numFmtId="0" fontId="12" fillId="0" borderId="0" xfId="0" applyFont="1"/>
    <xf numFmtId="0" fontId="0" fillId="0" borderId="0" xfId="0" applyAlignment="1">
      <alignment horizontal="right" vertical="center"/>
    </xf>
    <xf numFmtId="0" fontId="13" fillId="0" borderId="0" xfId="0" applyFont="1" applyAlignment="1">
      <alignment horizontal="right" vertical="center"/>
    </xf>
    <xf numFmtId="0" fontId="14" fillId="2" borderId="1" xfId="0" applyFont="1" applyFill="1" applyBorder="1" applyAlignment="1">
      <alignment horizontal="left" vertical="center" indent="1"/>
    </xf>
    <xf numFmtId="0" fontId="14" fillId="2" borderId="1" xfId="0" applyFont="1" applyFill="1" applyBorder="1" applyAlignment="1">
      <alignment horizontal="center" vertical="center" wrapText="1"/>
    </xf>
    <xf numFmtId="0" fontId="0" fillId="0" borderId="2" xfId="0" applyBorder="1" applyAlignment="1">
      <alignment horizontal="left" vertical="center" indent="1"/>
    </xf>
    <xf numFmtId="0" fontId="0" fillId="0" borderId="2" xfId="0" applyBorder="1" applyAlignment="1">
      <alignment horizontal="center" vertical="center"/>
    </xf>
    <xf numFmtId="9" fontId="15" fillId="0" borderId="2" xfId="3" applyFont="1" applyBorder="1" applyAlignment="1">
      <alignment horizontal="center" vertical="center"/>
    </xf>
    <xf numFmtId="0" fontId="16" fillId="3" borderId="2" xfId="0" applyFont="1" applyFill="1" applyBorder="1" applyAlignment="1">
      <alignment horizontal="left" vertical="center" indent="1"/>
    </xf>
    <xf numFmtId="0" fontId="16" fillId="3" borderId="2" xfId="0" applyFont="1" applyFill="1" applyBorder="1" applyAlignment="1">
      <alignment horizontal="center" vertical="center"/>
    </xf>
    <xf numFmtId="9" fontId="15" fillId="3" borderId="2" xfId="3"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15" fillId="4" borderId="2" xfId="3" applyFont="1" applyFill="1" applyBorder="1" applyAlignment="1">
      <alignment horizontal="center" vertical="center"/>
    </xf>
    <xf numFmtId="0" fontId="16" fillId="5" borderId="2" xfId="0" applyFont="1" applyFill="1" applyBorder="1" applyAlignment="1">
      <alignment horizontal="left" vertical="center" indent="1"/>
    </xf>
    <xf numFmtId="0" fontId="16" fillId="5" borderId="2" xfId="0" applyFont="1" applyFill="1" applyBorder="1" applyAlignment="1">
      <alignment horizontal="center" vertical="center"/>
    </xf>
    <xf numFmtId="9" fontId="15" fillId="5" borderId="2" xfId="3" applyFont="1" applyFill="1" applyBorder="1" applyAlignment="1">
      <alignment horizontal="center" vertical="center"/>
    </xf>
    <xf numFmtId="0" fontId="0" fillId="6" borderId="2" xfId="0" applyFill="1" applyBorder="1" applyAlignment="1">
      <alignment horizontal="left" vertical="center" indent="2"/>
    </xf>
    <xf numFmtId="0" fontId="0" fillId="6" borderId="2" xfId="0" applyFill="1" applyBorder="1" applyAlignment="1">
      <alignment horizontal="center" vertical="center"/>
    </xf>
    <xf numFmtId="9" fontId="15" fillId="6" borderId="2" xfId="3" applyFont="1" applyFill="1" applyBorder="1" applyAlignment="1">
      <alignment horizontal="center" vertical="center"/>
    </xf>
    <xf numFmtId="0" fontId="16" fillId="7" borderId="2" xfId="0" applyFont="1" applyFill="1" applyBorder="1" applyAlignment="1">
      <alignment horizontal="left" vertical="center" indent="1"/>
    </xf>
    <xf numFmtId="0" fontId="16" fillId="7" borderId="2" xfId="0" applyFont="1" applyFill="1" applyBorder="1" applyAlignment="1">
      <alignment horizontal="center" vertical="center"/>
    </xf>
    <xf numFmtId="9" fontId="15" fillId="7" borderId="2" xfId="3" applyFont="1" applyFill="1" applyBorder="1" applyAlignment="1">
      <alignment horizontal="center" vertical="center"/>
    </xf>
    <xf numFmtId="0" fontId="0" fillId="8" borderId="2" xfId="0" applyFill="1" applyBorder="1" applyAlignment="1">
      <alignment horizontal="left" vertical="center" indent="2"/>
    </xf>
    <xf numFmtId="0" fontId="0" fillId="8" borderId="2" xfId="0" applyFill="1" applyBorder="1" applyAlignment="1">
      <alignment horizontal="center" vertical="center"/>
    </xf>
    <xf numFmtId="9" fontId="15" fillId="8" borderId="2" xfId="3" applyFont="1" applyFill="1" applyBorder="1" applyAlignment="1">
      <alignment horizontal="center" vertical="center"/>
    </xf>
    <xf numFmtId="0" fontId="16" fillId="9" borderId="2" xfId="0" applyFont="1" applyFill="1" applyBorder="1" applyAlignment="1">
      <alignment horizontal="left" vertical="center" indent="1"/>
    </xf>
    <xf numFmtId="0" fontId="16" fillId="9" borderId="2" xfId="0" applyFont="1" applyFill="1" applyBorder="1" applyAlignment="1">
      <alignment horizontal="center" vertical="center"/>
    </xf>
    <xf numFmtId="9" fontId="15" fillId="9" borderId="2" xfId="3" applyFont="1" applyFill="1" applyBorder="1" applyAlignment="1">
      <alignment horizontal="center" vertical="center"/>
    </xf>
    <xf numFmtId="0" fontId="0" fillId="10" borderId="2" xfId="0" applyFill="1" applyBorder="1" applyAlignment="1">
      <alignment horizontal="left" vertical="center" indent="2"/>
    </xf>
    <xf numFmtId="0" fontId="0" fillId="10" borderId="2" xfId="0" applyFill="1" applyBorder="1" applyAlignment="1">
      <alignment horizontal="center" vertical="center"/>
    </xf>
    <xf numFmtId="9" fontId="15" fillId="10" borderId="2" xfId="3" applyFont="1" applyFill="1" applyBorder="1" applyAlignment="1">
      <alignment horizontal="center" vertical="center"/>
    </xf>
    <xf numFmtId="0" fontId="16" fillId="11" borderId="2" xfId="0" applyFont="1" applyFill="1" applyBorder="1" applyAlignment="1">
      <alignment horizontal="left" vertical="center" indent="1"/>
    </xf>
    <xf numFmtId="0" fontId="16" fillId="11" borderId="2" xfId="0" applyFont="1" applyFill="1" applyBorder="1" applyAlignment="1">
      <alignment horizontal="center" vertical="center"/>
    </xf>
    <xf numFmtId="9" fontId="15" fillId="11" borderId="2" xfId="3"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15" fillId="12" borderId="2" xfId="3" applyFont="1" applyFill="1" applyBorder="1" applyAlignment="1">
      <alignment horizontal="center" vertical="center"/>
    </xf>
    <xf numFmtId="0" fontId="17" fillId="13" borderId="2" xfId="0" applyFont="1" applyFill="1" applyBorder="1" applyAlignment="1">
      <alignment horizontal="left" vertical="center" indent="1"/>
    </xf>
    <xf numFmtId="0" fontId="17" fillId="13" borderId="2" xfId="0" applyFont="1" applyFill="1" applyBorder="1" applyAlignment="1">
      <alignment horizontal="center" vertical="center"/>
    </xf>
    <xf numFmtId="9" fontId="15" fillId="13" borderId="2" xfId="3" applyFont="1" applyFill="1" applyBorder="1" applyAlignment="1">
      <alignment horizontal="center" vertical="center"/>
    </xf>
    <xf numFmtId="0" fontId="18" fillId="0" borderId="0" xfId="0" applyFont="1"/>
    <xf numFmtId="0" fontId="19" fillId="0" borderId="0" xfId="6" applyFont="1" applyAlignment="1" applyProtection="1"/>
    <xf numFmtId="0" fontId="20" fillId="0" borderId="0" xfId="6" applyFont="1" applyAlignment="1" applyProtection="1"/>
    <xf numFmtId="0" fontId="19" fillId="0" borderId="0" xfId="0" applyFont="1"/>
    <xf numFmtId="0" fontId="2" fillId="0" borderId="0" xfId="0" applyFont="1" applyAlignment="1">
      <alignment horizontal="center"/>
    </xf>
    <xf numFmtId="0" fontId="2" fillId="0" borderId="0" xfId="0" applyFont="1" applyAlignment="1">
      <alignment horizontal="right" vertical="center"/>
    </xf>
    <xf numFmtId="176" fontId="0" fillId="0" borderId="3" xfId="0" applyNumberFormat="1" applyBorder="1" applyAlignment="1">
      <alignment horizontal="center" vertical="center"/>
    </xf>
    <xf numFmtId="0" fontId="0" fillId="0" borderId="4" xfId="0" applyBorder="1"/>
    <xf numFmtId="176" fontId="14" fillId="2" borderId="1" xfId="0" applyNumberFormat="1" applyFont="1" applyFill="1" applyBorder="1" applyAlignment="1">
      <alignment horizontal="center" vertical="center" wrapText="1"/>
    </xf>
    <xf numFmtId="177" fontId="0" fillId="0" borderId="2" xfId="0" applyNumberFormat="1" applyBorder="1" applyAlignment="1">
      <alignment horizontal="center" vertical="center"/>
    </xf>
    <xf numFmtId="177" fontId="15" fillId="0" borderId="2" xfId="0" applyNumberFormat="1" applyFont="1" applyBorder="1" applyAlignment="1">
      <alignment horizontal="center" vertical="center"/>
    </xf>
    <xf numFmtId="0" fontId="15" fillId="0" borderId="2" xfId="0" applyFont="1" applyBorder="1" applyAlignment="1">
      <alignment horizontal="center" vertical="center"/>
    </xf>
    <xf numFmtId="176" fontId="0" fillId="3" borderId="2" xfId="0" applyNumberFormat="1" applyFill="1" applyBorder="1" applyAlignment="1">
      <alignment horizontal="center" vertical="center"/>
    </xf>
    <xf numFmtId="176" fontId="15" fillId="3" borderId="2" xfId="0" applyNumberFormat="1" applyFont="1" applyFill="1" applyBorder="1" applyAlignment="1">
      <alignment horizontal="center" vertical="center"/>
    </xf>
    <xf numFmtId="176" fontId="0" fillId="4" borderId="2" xfId="0" applyNumberFormat="1" applyFill="1" applyBorder="1" applyAlignment="1">
      <alignment horizontal="center" vertical="center"/>
    </xf>
    <xf numFmtId="176" fontId="15" fillId="4" borderId="2" xfId="0" applyNumberFormat="1" applyFont="1" applyFill="1" applyBorder="1" applyAlignment="1">
      <alignment horizontal="center" vertical="center"/>
    </xf>
    <xf numFmtId="177" fontId="0" fillId="4" borderId="2" xfId="0" applyNumberFormat="1" applyFill="1" applyBorder="1" applyAlignment="1">
      <alignment horizontal="center" vertical="center"/>
    </xf>
    <xf numFmtId="177" fontId="15" fillId="4" borderId="2" xfId="0" applyNumberFormat="1" applyFont="1" applyFill="1" applyBorder="1" applyAlignment="1">
      <alignment horizontal="center" vertical="center"/>
    </xf>
    <xf numFmtId="176" fontId="0" fillId="5" borderId="2" xfId="0" applyNumberFormat="1" applyFill="1" applyBorder="1" applyAlignment="1">
      <alignment horizontal="center" vertical="center"/>
    </xf>
    <xf numFmtId="176" fontId="15" fillId="5" borderId="2" xfId="0" applyNumberFormat="1" applyFont="1" applyFill="1" applyBorder="1" applyAlignment="1">
      <alignment horizontal="center" vertical="center"/>
    </xf>
    <xf numFmtId="176" fontId="0" fillId="6" borderId="2" xfId="0" applyNumberFormat="1" applyFill="1" applyBorder="1" applyAlignment="1">
      <alignment horizontal="center" vertical="center"/>
    </xf>
    <xf numFmtId="176" fontId="15" fillId="6" borderId="2" xfId="0" applyNumberFormat="1" applyFont="1" applyFill="1" applyBorder="1" applyAlignment="1">
      <alignment horizontal="center" vertical="center"/>
    </xf>
    <xf numFmtId="177" fontId="0" fillId="6" borderId="2" xfId="0" applyNumberFormat="1" applyFill="1" applyBorder="1" applyAlignment="1">
      <alignment horizontal="center" vertical="center"/>
    </xf>
    <xf numFmtId="177" fontId="15" fillId="6" borderId="2" xfId="0" applyNumberFormat="1" applyFont="1" applyFill="1" applyBorder="1" applyAlignment="1">
      <alignment horizontal="center" vertical="center"/>
    </xf>
    <xf numFmtId="176" fontId="0" fillId="7" borderId="2" xfId="0" applyNumberFormat="1" applyFill="1" applyBorder="1" applyAlignment="1">
      <alignment horizontal="center" vertical="center"/>
    </xf>
    <xf numFmtId="176" fontId="15" fillId="7" borderId="2" xfId="0" applyNumberFormat="1" applyFont="1" applyFill="1" applyBorder="1" applyAlignment="1">
      <alignment horizontal="center" vertical="center"/>
    </xf>
    <xf numFmtId="176" fontId="0" fillId="8" borderId="2" xfId="0" applyNumberFormat="1" applyFill="1" applyBorder="1" applyAlignment="1">
      <alignment horizontal="center" vertical="center"/>
    </xf>
    <xf numFmtId="176" fontId="15" fillId="8" borderId="2" xfId="0" applyNumberFormat="1" applyFont="1" applyFill="1" applyBorder="1" applyAlignment="1">
      <alignment horizontal="center" vertical="center"/>
    </xf>
    <xf numFmtId="177" fontId="0" fillId="8" borderId="2" xfId="0" applyNumberFormat="1" applyFill="1" applyBorder="1" applyAlignment="1">
      <alignment horizontal="center" vertical="center"/>
    </xf>
    <xf numFmtId="177" fontId="15" fillId="8" borderId="2" xfId="0" applyNumberFormat="1" applyFont="1" applyFill="1" applyBorder="1" applyAlignment="1">
      <alignment horizontal="center" vertical="center"/>
    </xf>
    <xf numFmtId="176" fontId="0" fillId="9" borderId="2" xfId="0" applyNumberFormat="1" applyFill="1" applyBorder="1" applyAlignment="1">
      <alignment horizontal="center" vertical="center"/>
    </xf>
    <xf numFmtId="176" fontId="15" fillId="9" borderId="2" xfId="0" applyNumberFormat="1" applyFont="1" applyFill="1" applyBorder="1" applyAlignment="1">
      <alignment horizontal="center" vertical="center"/>
    </xf>
    <xf numFmtId="176" fontId="0" fillId="10" borderId="2" xfId="0" applyNumberFormat="1" applyFill="1" applyBorder="1" applyAlignment="1">
      <alignment horizontal="center" vertical="center"/>
    </xf>
    <xf numFmtId="176" fontId="15" fillId="10" borderId="2" xfId="0" applyNumberFormat="1" applyFont="1" applyFill="1" applyBorder="1" applyAlignment="1">
      <alignment horizontal="center" vertical="center"/>
    </xf>
    <xf numFmtId="177" fontId="0" fillId="10" borderId="2" xfId="0" applyNumberFormat="1" applyFill="1" applyBorder="1" applyAlignment="1">
      <alignment horizontal="center" vertical="center"/>
    </xf>
    <xf numFmtId="177" fontId="15" fillId="10" borderId="2" xfId="0" applyNumberFormat="1" applyFont="1" applyFill="1" applyBorder="1" applyAlignment="1">
      <alignment horizontal="center" vertical="center"/>
    </xf>
    <xf numFmtId="176" fontId="0" fillId="11" borderId="2" xfId="0" applyNumberFormat="1" applyFill="1" applyBorder="1" applyAlignment="1">
      <alignment horizontal="center" vertical="center"/>
    </xf>
    <xf numFmtId="176" fontId="15" fillId="11" borderId="2" xfId="0" applyNumberFormat="1" applyFont="1" applyFill="1" applyBorder="1" applyAlignment="1">
      <alignment horizontal="center" vertical="center"/>
    </xf>
    <xf numFmtId="176" fontId="0" fillId="12" borderId="2" xfId="0" applyNumberFormat="1" applyFill="1" applyBorder="1" applyAlignment="1">
      <alignment horizontal="center" vertical="center"/>
    </xf>
    <xf numFmtId="176" fontId="15" fillId="12" borderId="2" xfId="0" applyNumberFormat="1" applyFont="1" applyFill="1" applyBorder="1" applyAlignment="1">
      <alignment horizontal="center" vertical="center"/>
    </xf>
    <xf numFmtId="177" fontId="0" fillId="12" borderId="2" xfId="0" applyNumberFormat="1" applyFill="1" applyBorder="1" applyAlignment="1">
      <alignment horizontal="center" vertical="center"/>
    </xf>
    <xf numFmtId="177" fontId="15" fillId="12" borderId="2" xfId="0" applyNumberFormat="1" applyFont="1" applyFill="1" applyBorder="1" applyAlignment="1">
      <alignment horizontal="center" vertical="center"/>
    </xf>
    <xf numFmtId="176" fontId="0" fillId="0" borderId="2" xfId="0" applyNumberFormat="1" applyBorder="1" applyAlignment="1">
      <alignment horizontal="center" vertical="center"/>
    </xf>
    <xf numFmtId="176" fontId="15" fillId="0" borderId="2" xfId="0" applyNumberFormat="1" applyFont="1" applyBorder="1" applyAlignment="1">
      <alignment horizontal="center" vertical="center"/>
    </xf>
    <xf numFmtId="177" fontId="21" fillId="13" borderId="2" xfId="0" applyNumberFormat="1" applyFont="1" applyFill="1" applyBorder="1" applyAlignment="1">
      <alignment horizontal="left" vertical="center"/>
    </xf>
    <xf numFmtId="177" fontId="15" fillId="13" borderId="2" xfId="0" applyNumberFormat="1" applyFont="1" applyFill="1" applyBorder="1" applyAlignment="1">
      <alignment horizontal="center" vertical="center"/>
    </xf>
    <xf numFmtId="0" fontId="15" fillId="13" borderId="2" xfId="0" applyFont="1" applyFill="1" applyBorder="1" applyAlignment="1">
      <alignment horizontal="center" vertical="center"/>
    </xf>
    <xf numFmtId="58" fontId="22" fillId="0" borderId="0" xfId="0" applyNumberFormat="1" applyFont="1" applyAlignment="1">
      <alignment horizontal="center"/>
    </xf>
    <xf numFmtId="0" fontId="23" fillId="0" borderId="0" xfId="0" applyFont="1" applyAlignment="1">
      <alignment vertical="center"/>
    </xf>
    <xf numFmtId="0" fontId="24" fillId="0" borderId="0" xfId="6" applyFont="1" applyAlignment="1" applyProtection="1">
      <alignment horizontal="left" vertical="center"/>
    </xf>
    <xf numFmtId="178" fontId="0" fillId="14" borderId="5" xfId="0" applyNumberFormat="1" applyFill="1" applyBorder="1" applyAlignment="1">
      <alignment horizontal="left" vertical="center" wrapText="1" indent="1"/>
    </xf>
    <xf numFmtId="0" fontId="0" fillId="0" borderId="1" xfId="0" applyBorder="1"/>
    <xf numFmtId="179" fontId="25" fillId="14" borderId="6" xfId="0" applyNumberFormat="1" applyFont="1" applyFill="1" applyBorder="1" applyAlignment="1">
      <alignment horizontal="center" vertical="center"/>
    </xf>
    <xf numFmtId="179" fontId="25" fillId="14" borderId="0" xfId="0" applyNumberFormat="1" applyFont="1" applyFill="1" applyAlignment="1">
      <alignment horizontal="center" vertical="center"/>
    </xf>
    <xf numFmtId="0" fontId="26" fillId="15" borderId="7" xfId="0" applyFont="1" applyFill="1" applyBorder="1" applyAlignment="1">
      <alignment horizontal="center" vertical="center" shrinkToFit="1"/>
    </xf>
    <xf numFmtId="0" fontId="0" fillId="0" borderId="8" xfId="0" applyBorder="1" applyAlignment="1">
      <alignment vertical="center"/>
    </xf>
    <xf numFmtId="0" fontId="0" fillId="13" borderId="8" xfId="0" applyFill="1" applyBorder="1" applyAlignment="1">
      <alignment vertical="center"/>
    </xf>
    <xf numFmtId="0" fontId="0" fillId="0" borderId="9" xfId="0" applyBorder="1"/>
    <xf numFmtId="179" fontId="25" fillId="14" borderId="10" xfId="0" applyNumberFormat="1" applyFont="1" applyFill="1" applyBorder="1" applyAlignment="1">
      <alignment horizontal="center" vertical="center"/>
    </xf>
    <xf numFmtId="0" fontId="0" fillId="0" borderId="8" xfId="0" applyBorder="1" applyAlignment="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2">
    <dxf>
      <border>
        <left style="thin">
          <color rgb="FFC00000"/>
        </left>
        <right style="thin">
          <color rgb="FFC00000"/>
        </right>
      </border>
    </dxf>
    <dxf>
      <fill>
        <patternFill patternType="solid">
          <bgColor theme="0" tint="-0.349986266670736"/>
        </patternFill>
      </fill>
    </dxf>
    <dxf>
      <fill>
        <patternFill patternType="solid">
          <bgColor theme="7"/>
        </patternFill>
      </fill>
      <border>
        <left/>
        <right/>
      </border>
    </dxf>
    <dxf>
      <border>
        <left style="thin">
          <color theme="0" tint="-0.249946592608417"/>
        </left>
      </border>
    </dxf>
    <dxf>
      <border>
        <left style="thin">
          <color theme="0" tint="-0.249946592608417"/>
        </left>
      </border>
    </dxf>
    <dxf>
      <border>
        <top style="thin">
          <color theme="4" tint="0.399945066682943"/>
        </top>
      </border>
    </dxf>
    <dxf>
      <fill>
        <patternFill patternType="solid">
          <bgColor theme="0" tint="-0.0499893185216834"/>
        </patternFill>
      </fill>
      <border>
        <top style="thin">
          <color theme="4" tint="0.399945066682943"/>
        </top>
      </border>
    </dxf>
    <dxf>
      <font>
        <b val="1"/>
        <color theme="1"/>
      </font>
    </dxf>
    <dxf>
      <font>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23F125E1-B553-0E92-EF8A-A06A9FEB121C}">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232410" y="95250"/>
          <a:ext cx="1905000" cy="4286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5" Type="http://schemas.openxmlformats.org/officeDocument/2006/relationships/hyperlink" Target="https://www.vertex42.com/ExcelTemplates/excel-project-management.html?utm_source=v42&amp;utm_medium=file&amp;utm_campaign=templates&amp;utm_term=simple-gantt-chart_ms&amp;utm_content=text" TargetMode="External"/><Relationship Id="rId4" Type="http://schemas.openxmlformats.org/officeDocument/2006/relationships/hyperlink" Target="https://www.vertex42.com/ExcelTemplates/simple-gantt-chart.html?utm_source=v42&amp;utm_medium=file&amp;utm_campaign=templates&amp;utm_term=simple-gantt-chart_ms&amp;utm_content=help" TargetMode="External"/><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L45"/>
  <sheetViews>
    <sheetView showGridLines="0" tabSelected="1" zoomScalePageLayoutView="70" showRuler="0" workbookViewId="0">
      <pane ySplit="6" topLeftCell="A7" activePane="bottomLeft" state="frozen"/>
      <selection/>
      <selection pane="bottomLeft" activeCell="F5" sqref="F5"/>
    </sheetView>
  </sheetViews>
  <sheetFormatPr defaultColWidth="9" defaultRowHeight="16.8"/>
  <cols>
    <col min="1" max="1" width="2.7109375" customWidth="1"/>
    <col min="2" max="2" width="19.859375" customWidth="1"/>
    <col min="3" max="3" width="9.140625" customWidth="1"/>
    <col min="4" max="4" width="10.7109375" customWidth="1"/>
    <col min="5" max="5" width="10.4296875" style="14" customWidth="1"/>
    <col min="6" max="6" width="10.4296875" customWidth="1"/>
    <col min="7" max="7" width="2.7109375" customWidth="1"/>
    <col min="8" max="8" width="6.140625" hidden="1" customWidth="1"/>
    <col min="9" max="64" width="2.5703125" customWidth="1"/>
    <col min="69" max="70" width="10.2890625" customWidth="1"/>
  </cols>
  <sheetData>
    <row r="1" ht="28.5" customHeight="1" spans="2:10">
      <c r="B1" s="15" t="s">
        <v>0</v>
      </c>
      <c r="C1" s="16"/>
      <c r="D1" s="4"/>
      <c r="E1" s="62"/>
      <c r="F1" s="63"/>
      <c r="H1" s="4"/>
      <c r="I1" s="106"/>
      <c r="J1" s="107" t="str">
        <f>HYPERLINK("https://vertex42.link/HowToMakeAGanttChart","► Watch How to Make a Gantt Chart in Excel")</f>
        <v>► Watch How to Make a Gantt Chart in Excel</v>
      </c>
    </row>
    <row r="2" ht="19.5" customHeight="1" spans="2:6">
      <c r="B2" s="17" t="s">
        <v>1</v>
      </c>
      <c r="D2" s="18" t="s">
        <v>2</v>
      </c>
      <c r="E2" s="64">
        <v>46237</v>
      </c>
      <c r="F2" s="65"/>
    </row>
    <row r="3" ht="19.5" customHeight="1" spans="2:6">
      <c r="B3" s="17" t="s">
        <v>3</v>
      </c>
      <c r="D3" s="18" t="s">
        <v>4</v>
      </c>
      <c r="E3" s="64">
        <v>46274</v>
      </c>
      <c r="F3" s="65"/>
    </row>
    <row r="4" ht="19.5" customHeight="1" spans="4:64">
      <c r="D4" s="18" t="s">
        <v>5</v>
      </c>
      <c r="E4" s="64">
        <v>1</v>
      </c>
      <c r="I4" s="108">
        <f>I5</f>
        <v>46237</v>
      </c>
      <c r="J4" s="109"/>
      <c r="K4" s="109"/>
      <c r="L4" s="109"/>
      <c r="M4" s="109"/>
      <c r="N4" s="109"/>
      <c r="O4" s="115"/>
      <c r="P4" s="108">
        <f>P5</f>
        <v>46244</v>
      </c>
      <c r="Q4" s="109"/>
      <c r="R4" s="109"/>
      <c r="S4" s="109"/>
      <c r="T4" s="109"/>
      <c r="U4" s="109"/>
      <c r="V4" s="115"/>
      <c r="W4" s="108">
        <f>W5</f>
        <v>46251</v>
      </c>
      <c r="X4" s="109"/>
      <c r="Y4" s="109"/>
      <c r="Z4" s="109"/>
      <c r="AA4" s="109"/>
      <c r="AB4" s="109"/>
      <c r="AC4" s="115"/>
      <c r="AD4" s="108">
        <f>AD5</f>
        <v>46258</v>
      </c>
      <c r="AE4" s="109"/>
      <c r="AF4" s="109"/>
      <c r="AG4" s="109"/>
      <c r="AH4" s="109"/>
      <c r="AI4" s="109"/>
      <c r="AJ4" s="115"/>
      <c r="AK4" s="108">
        <f>AK5</f>
        <v>46265</v>
      </c>
      <c r="AL4" s="109"/>
      <c r="AM4" s="109"/>
      <c r="AN4" s="109"/>
      <c r="AO4" s="109"/>
      <c r="AP4" s="109"/>
      <c r="AQ4" s="115"/>
      <c r="AR4" s="108">
        <f>AR5</f>
        <v>46272</v>
      </c>
      <c r="AS4" s="109"/>
      <c r="AT4" s="109"/>
      <c r="AU4" s="109"/>
      <c r="AV4" s="109"/>
      <c r="AW4" s="109"/>
      <c r="AX4" s="115"/>
      <c r="AY4" s="108">
        <f>AY5</f>
        <v>46279</v>
      </c>
      <c r="AZ4" s="109"/>
      <c r="BA4" s="109"/>
      <c r="BB4" s="109"/>
      <c r="BC4" s="109"/>
      <c r="BD4" s="109"/>
      <c r="BE4" s="115"/>
      <c r="BF4" s="108">
        <f>BF5</f>
        <v>46286</v>
      </c>
      <c r="BG4" s="109"/>
      <c r="BH4" s="109"/>
      <c r="BI4" s="109"/>
      <c r="BJ4" s="109"/>
      <c r="BK4" s="109"/>
      <c r="BL4" s="115"/>
    </row>
    <row r="5" spans="1:64">
      <c r="A5" s="18"/>
      <c r="G5" s="18"/>
      <c r="I5" s="110">
        <f>E2-WEEKDAY(E2,1)+2+7*(E4-1)</f>
        <v>46237</v>
      </c>
      <c r="J5" s="111">
        <f t="shared" ref="J5:BL5" si="0">I5+1</f>
        <v>46238</v>
      </c>
      <c r="K5" s="111">
        <f t="shared" si="0"/>
        <v>46239</v>
      </c>
      <c r="L5" s="111">
        <f t="shared" si="0"/>
        <v>46240</v>
      </c>
      <c r="M5" s="111">
        <f t="shared" si="0"/>
        <v>46241</v>
      </c>
      <c r="N5" s="111">
        <f t="shared" si="0"/>
        <v>46242</v>
      </c>
      <c r="O5" s="116">
        <f t="shared" si="0"/>
        <v>46243</v>
      </c>
      <c r="P5" s="110">
        <f t="shared" si="0"/>
        <v>46244</v>
      </c>
      <c r="Q5" s="111">
        <f t="shared" si="0"/>
        <v>46245</v>
      </c>
      <c r="R5" s="111">
        <f t="shared" si="0"/>
        <v>46246</v>
      </c>
      <c r="S5" s="111">
        <f t="shared" si="0"/>
        <v>46247</v>
      </c>
      <c r="T5" s="111">
        <f t="shared" si="0"/>
        <v>46248</v>
      </c>
      <c r="U5" s="111">
        <f t="shared" si="0"/>
        <v>46249</v>
      </c>
      <c r="V5" s="116">
        <f t="shared" si="0"/>
        <v>46250</v>
      </c>
      <c r="W5" s="110">
        <f t="shared" si="0"/>
        <v>46251</v>
      </c>
      <c r="X5" s="111">
        <f t="shared" si="0"/>
        <v>46252</v>
      </c>
      <c r="Y5" s="111">
        <f t="shared" si="0"/>
        <v>46253</v>
      </c>
      <c r="Z5" s="111">
        <f t="shared" si="0"/>
        <v>46254</v>
      </c>
      <c r="AA5" s="111">
        <f t="shared" si="0"/>
        <v>46255</v>
      </c>
      <c r="AB5" s="111">
        <f t="shared" si="0"/>
        <v>46256</v>
      </c>
      <c r="AC5" s="116">
        <f t="shared" si="0"/>
        <v>46257</v>
      </c>
      <c r="AD5" s="110">
        <f t="shared" si="0"/>
        <v>46258</v>
      </c>
      <c r="AE5" s="111">
        <f t="shared" si="0"/>
        <v>46259</v>
      </c>
      <c r="AF5" s="111">
        <f t="shared" si="0"/>
        <v>46260</v>
      </c>
      <c r="AG5" s="111">
        <f t="shared" si="0"/>
        <v>46261</v>
      </c>
      <c r="AH5" s="111">
        <f t="shared" si="0"/>
        <v>46262</v>
      </c>
      <c r="AI5" s="111">
        <f t="shared" si="0"/>
        <v>46263</v>
      </c>
      <c r="AJ5" s="116">
        <f t="shared" si="0"/>
        <v>46264</v>
      </c>
      <c r="AK5" s="110">
        <f t="shared" si="0"/>
        <v>46265</v>
      </c>
      <c r="AL5" s="111">
        <f t="shared" si="0"/>
        <v>46266</v>
      </c>
      <c r="AM5" s="111">
        <f t="shared" si="0"/>
        <v>46267</v>
      </c>
      <c r="AN5" s="111">
        <f t="shared" si="0"/>
        <v>46268</v>
      </c>
      <c r="AO5" s="111">
        <f t="shared" si="0"/>
        <v>46269</v>
      </c>
      <c r="AP5" s="111">
        <f t="shared" si="0"/>
        <v>46270</v>
      </c>
      <c r="AQ5" s="116">
        <f t="shared" si="0"/>
        <v>46271</v>
      </c>
      <c r="AR5" s="110">
        <f t="shared" si="0"/>
        <v>46272</v>
      </c>
      <c r="AS5" s="111">
        <f t="shared" si="0"/>
        <v>46273</v>
      </c>
      <c r="AT5" s="111">
        <f t="shared" si="0"/>
        <v>46274</v>
      </c>
      <c r="AU5" s="111">
        <f t="shared" si="0"/>
        <v>46275</v>
      </c>
      <c r="AV5" s="111">
        <f t="shared" si="0"/>
        <v>46276</v>
      </c>
      <c r="AW5" s="111">
        <f t="shared" si="0"/>
        <v>46277</v>
      </c>
      <c r="AX5" s="116">
        <f t="shared" si="0"/>
        <v>46278</v>
      </c>
      <c r="AY5" s="110">
        <f t="shared" si="0"/>
        <v>46279</v>
      </c>
      <c r="AZ5" s="111">
        <f t="shared" si="0"/>
        <v>46280</v>
      </c>
      <c r="BA5" s="111">
        <f t="shared" si="0"/>
        <v>46281</v>
      </c>
      <c r="BB5" s="111">
        <f t="shared" si="0"/>
        <v>46282</v>
      </c>
      <c r="BC5" s="111">
        <f t="shared" si="0"/>
        <v>46283</v>
      </c>
      <c r="BD5" s="111">
        <f t="shared" si="0"/>
        <v>46284</v>
      </c>
      <c r="BE5" s="116">
        <f t="shared" si="0"/>
        <v>46285</v>
      </c>
      <c r="BF5" s="110">
        <f t="shared" si="0"/>
        <v>46286</v>
      </c>
      <c r="BG5" s="111">
        <f t="shared" si="0"/>
        <v>46287</v>
      </c>
      <c r="BH5" s="111">
        <f t="shared" si="0"/>
        <v>46288</v>
      </c>
      <c r="BI5" s="111">
        <f t="shared" si="0"/>
        <v>46289</v>
      </c>
      <c r="BJ5" s="111">
        <f t="shared" si="0"/>
        <v>46290</v>
      </c>
      <c r="BK5" s="111">
        <f t="shared" si="0"/>
        <v>46291</v>
      </c>
      <c r="BL5" s="116">
        <f t="shared" si="0"/>
        <v>46292</v>
      </c>
    </row>
    <row r="6" ht="29.25" customHeight="1" spans="1:64">
      <c r="A6" s="19"/>
      <c r="B6" s="20" t="s">
        <v>6</v>
      </c>
      <c r="C6" s="21" t="s">
        <v>7</v>
      </c>
      <c r="D6" s="21" t="s">
        <v>8</v>
      </c>
      <c r="E6" s="66" t="s">
        <v>9</v>
      </c>
      <c r="F6" s="66" t="s">
        <v>10</v>
      </c>
      <c r="G6" s="21"/>
      <c r="H6" s="21" t="s">
        <v>11</v>
      </c>
      <c r="I6" s="112" t="str">
        <f t="shared" ref="I6:BL6" si="1">LEFT(TEXT(I5,"ddd"),1)</f>
        <v>M</v>
      </c>
      <c r="J6" s="112" t="str">
        <f t="shared" si="1"/>
        <v>T</v>
      </c>
      <c r="K6" s="112" t="str">
        <f t="shared" si="1"/>
        <v>W</v>
      </c>
      <c r="L6" s="112" t="str">
        <f t="shared" si="1"/>
        <v>T</v>
      </c>
      <c r="M6" s="112" t="str">
        <f t="shared" si="1"/>
        <v>F</v>
      </c>
      <c r="N6" s="112" t="str">
        <f t="shared" si="1"/>
        <v>S</v>
      </c>
      <c r="O6" s="112" t="str">
        <f t="shared" si="1"/>
        <v>S</v>
      </c>
      <c r="P6" s="112" t="str">
        <f t="shared" si="1"/>
        <v>M</v>
      </c>
      <c r="Q6" s="112" t="str">
        <f t="shared" si="1"/>
        <v>T</v>
      </c>
      <c r="R6" s="112" t="str">
        <f t="shared" si="1"/>
        <v>W</v>
      </c>
      <c r="S6" s="112" t="str">
        <f t="shared" si="1"/>
        <v>T</v>
      </c>
      <c r="T6" s="112" t="str">
        <f t="shared" si="1"/>
        <v>F</v>
      </c>
      <c r="U6" s="112" t="str">
        <f t="shared" si="1"/>
        <v>S</v>
      </c>
      <c r="V6" s="112" t="str">
        <f t="shared" si="1"/>
        <v>S</v>
      </c>
      <c r="W6" s="112" t="str">
        <f t="shared" si="1"/>
        <v>M</v>
      </c>
      <c r="X6" s="112" t="str">
        <f t="shared" si="1"/>
        <v>T</v>
      </c>
      <c r="Y6" s="112" t="str">
        <f t="shared" si="1"/>
        <v>W</v>
      </c>
      <c r="Z6" s="112" t="str">
        <f t="shared" si="1"/>
        <v>T</v>
      </c>
      <c r="AA6" s="112" t="str">
        <f t="shared" si="1"/>
        <v>F</v>
      </c>
      <c r="AB6" s="112" t="str">
        <f t="shared" si="1"/>
        <v>S</v>
      </c>
      <c r="AC6" s="112" t="str">
        <f t="shared" si="1"/>
        <v>S</v>
      </c>
      <c r="AD6" s="112" t="str">
        <f t="shared" si="1"/>
        <v>M</v>
      </c>
      <c r="AE6" s="112" t="str">
        <f t="shared" si="1"/>
        <v>T</v>
      </c>
      <c r="AF6" s="112" t="str">
        <f t="shared" si="1"/>
        <v>W</v>
      </c>
      <c r="AG6" s="112" t="str">
        <f t="shared" si="1"/>
        <v>T</v>
      </c>
      <c r="AH6" s="112" t="str">
        <f t="shared" si="1"/>
        <v>F</v>
      </c>
      <c r="AI6" s="112" t="str">
        <f t="shared" si="1"/>
        <v>S</v>
      </c>
      <c r="AJ6" s="112" t="str">
        <f t="shared" si="1"/>
        <v>S</v>
      </c>
      <c r="AK6" s="112" t="str">
        <f t="shared" si="1"/>
        <v>M</v>
      </c>
      <c r="AL6" s="112" t="str">
        <f t="shared" si="1"/>
        <v>T</v>
      </c>
      <c r="AM6" s="112" t="str">
        <f t="shared" si="1"/>
        <v>W</v>
      </c>
      <c r="AN6" s="112" t="str">
        <f t="shared" si="1"/>
        <v>T</v>
      </c>
      <c r="AO6" s="112" t="str">
        <f t="shared" si="1"/>
        <v>F</v>
      </c>
      <c r="AP6" s="112" t="str">
        <f t="shared" si="1"/>
        <v>S</v>
      </c>
      <c r="AQ6" s="112" t="str">
        <f t="shared" si="1"/>
        <v>S</v>
      </c>
      <c r="AR6" s="112" t="str">
        <f t="shared" si="1"/>
        <v>M</v>
      </c>
      <c r="AS6" s="112" t="str">
        <f t="shared" si="1"/>
        <v>T</v>
      </c>
      <c r="AT6" s="112" t="str">
        <f t="shared" si="1"/>
        <v>W</v>
      </c>
      <c r="AU6" s="112" t="str">
        <f t="shared" si="1"/>
        <v>T</v>
      </c>
      <c r="AV6" s="112" t="str">
        <f t="shared" si="1"/>
        <v>F</v>
      </c>
      <c r="AW6" s="112" t="str">
        <f t="shared" si="1"/>
        <v>S</v>
      </c>
      <c r="AX6" s="112" t="str">
        <f t="shared" si="1"/>
        <v>S</v>
      </c>
      <c r="AY6" s="112" t="str">
        <f t="shared" si="1"/>
        <v>M</v>
      </c>
      <c r="AZ6" s="112" t="str">
        <f t="shared" si="1"/>
        <v>T</v>
      </c>
      <c r="BA6" s="112" t="str">
        <f t="shared" si="1"/>
        <v>W</v>
      </c>
      <c r="BB6" s="112" t="str">
        <f t="shared" si="1"/>
        <v>T</v>
      </c>
      <c r="BC6" s="112" t="str">
        <f t="shared" si="1"/>
        <v>F</v>
      </c>
      <c r="BD6" s="112" t="str">
        <f t="shared" si="1"/>
        <v>S</v>
      </c>
      <c r="BE6" s="112" t="str">
        <f t="shared" si="1"/>
        <v>S</v>
      </c>
      <c r="BF6" s="112" t="str">
        <f t="shared" si="1"/>
        <v>M</v>
      </c>
      <c r="BG6" s="112" t="str">
        <f t="shared" si="1"/>
        <v>T</v>
      </c>
      <c r="BH6" s="112" t="str">
        <f t="shared" si="1"/>
        <v>W</v>
      </c>
      <c r="BI6" s="112" t="str">
        <f t="shared" si="1"/>
        <v>T</v>
      </c>
      <c r="BJ6" s="112" t="str">
        <f t="shared" si="1"/>
        <v>F</v>
      </c>
      <c r="BK6" s="112" t="str">
        <f t="shared" si="1"/>
        <v>S</v>
      </c>
      <c r="BL6" s="112" t="str">
        <f t="shared" si="1"/>
        <v>S</v>
      </c>
    </row>
    <row r="7" s="13" customFormat="1" ht="21.75" customHeight="1" spans="1:64">
      <c r="A7" s="19"/>
      <c r="B7" s="22"/>
      <c r="C7" s="23"/>
      <c r="D7" s="24"/>
      <c r="E7" s="67"/>
      <c r="F7" s="68"/>
      <c r="G7" s="69"/>
      <c r="H7" s="69" t="str">
        <f>IF(OR(ISBLANK(task_start),ISBLANK(task_end)),"",task_end-task_start+1)</f>
        <v/>
      </c>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row>
    <row r="8" s="13" customFormat="1" ht="21.75" customHeight="1" spans="1:64">
      <c r="A8" s="19"/>
      <c r="B8" s="25" t="s">
        <v>12</v>
      </c>
      <c r="C8" s="26"/>
      <c r="D8" s="27"/>
      <c r="E8" s="70">
        <v>46237</v>
      </c>
      <c r="F8" s="71">
        <v>46243</v>
      </c>
      <c r="G8" s="69"/>
      <c r="H8" s="69">
        <f>IF(OR(ISBLANK(task_start),ISBLANK(task_end)),"",task_end-task_start+1)</f>
        <v>7</v>
      </c>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row>
    <row r="9" s="13" customFormat="1" ht="21.75" customHeight="1" spans="1:64">
      <c r="A9" s="19"/>
      <c r="B9" s="28" t="s">
        <v>13</v>
      </c>
      <c r="C9" s="29" t="s">
        <v>14</v>
      </c>
      <c r="D9" s="30">
        <v>1</v>
      </c>
      <c r="E9" s="72">
        <v>46237</v>
      </c>
      <c r="F9" s="73">
        <v>46243</v>
      </c>
      <c r="G9" s="69"/>
      <c r="H9" s="69">
        <f>IF(OR(ISBLANK(task_start),ISBLANK(task_end)),"",task_end-task_start+1)</f>
        <v>7</v>
      </c>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row>
    <row r="10" s="13" customFormat="1" ht="21.75" customHeight="1" spans="1:64">
      <c r="A10" s="19"/>
      <c r="B10" s="28" t="s">
        <v>15</v>
      </c>
      <c r="C10" s="29" t="s">
        <v>14</v>
      </c>
      <c r="D10" s="30">
        <v>1</v>
      </c>
      <c r="E10" s="72">
        <v>46237</v>
      </c>
      <c r="F10" s="73">
        <v>46243</v>
      </c>
      <c r="G10" s="69"/>
      <c r="H10" s="69">
        <f>IF(OR(ISBLANK(task_start),ISBLANK(task_end)),"",task_end-task_start+1)</f>
        <v>7</v>
      </c>
      <c r="I10" s="113"/>
      <c r="J10" s="113"/>
      <c r="K10" s="113"/>
      <c r="L10" s="113"/>
      <c r="M10" s="113"/>
      <c r="N10" s="113"/>
      <c r="O10" s="113"/>
      <c r="P10" s="113"/>
      <c r="Q10" s="113"/>
      <c r="R10" s="113"/>
      <c r="S10" s="113"/>
      <c r="T10" s="113"/>
      <c r="U10" s="117"/>
      <c r="V10" s="117"/>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row>
    <row r="11" s="13" customFormat="1" ht="21.75" customHeight="1" spans="1:64">
      <c r="A11" s="19"/>
      <c r="B11" s="28" t="s">
        <v>16</v>
      </c>
      <c r="C11" s="29" t="s">
        <v>14</v>
      </c>
      <c r="D11" s="30">
        <v>1</v>
      </c>
      <c r="E11" s="72">
        <v>46237</v>
      </c>
      <c r="F11" s="73">
        <v>46243</v>
      </c>
      <c r="G11" s="69"/>
      <c r="H11" s="69">
        <f>IF(OR(ISBLANK(task_start),ISBLANK(task_end)),"",task_end-task_start+1)</f>
        <v>7</v>
      </c>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row>
    <row r="12" s="13" customFormat="1" ht="21.75" customHeight="1" spans="1:64">
      <c r="A12" s="19"/>
      <c r="B12" s="28"/>
      <c r="C12" s="29"/>
      <c r="D12" s="30"/>
      <c r="E12" s="74"/>
      <c r="F12" s="75"/>
      <c r="G12" s="69"/>
      <c r="H12" s="69" t="str">
        <f>IF(OR(ISBLANK(task_start),ISBLANK(task_end)),"",task_end-task_start+1)</f>
        <v/>
      </c>
      <c r="I12" s="113"/>
      <c r="J12" s="113"/>
      <c r="K12" s="113"/>
      <c r="L12" s="113"/>
      <c r="M12" s="113"/>
      <c r="N12" s="113"/>
      <c r="O12" s="113"/>
      <c r="P12" s="113"/>
      <c r="Q12" s="113"/>
      <c r="R12" s="113"/>
      <c r="S12" s="113"/>
      <c r="T12" s="113"/>
      <c r="U12" s="113"/>
      <c r="V12" s="113"/>
      <c r="W12" s="113"/>
      <c r="X12" s="113"/>
      <c r="Y12" s="117"/>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row>
    <row r="13" s="13" customFormat="1" ht="21.75" customHeight="1" spans="1:64">
      <c r="A13" s="19"/>
      <c r="B13" s="28"/>
      <c r="C13" s="29"/>
      <c r="D13" s="30"/>
      <c r="E13" s="74"/>
      <c r="F13" s="75"/>
      <c r="G13" s="69"/>
      <c r="H13" s="69" t="str">
        <f>IF(OR(ISBLANK(task_start),ISBLANK(task_end)),"",task_end-task_start+1)</f>
        <v/>
      </c>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row>
    <row r="14" s="13" customFormat="1" ht="21.75" customHeight="1" spans="1:64">
      <c r="A14" s="19"/>
      <c r="B14" s="31" t="s">
        <v>17</v>
      </c>
      <c r="C14" s="32"/>
      <c r="D14" s="33"/>
      <c r="E14" s="76">
        <v>46244</v>
      </c>
      <c r="F14" s="77">
        <v>46250</v>
      </c>
      <c r="G14" s="69"/>
      <c r="H14" s="69">
        <f>IF(OR(ISBLANK(task_start),ISBLANK(task_end)),"",task_end-task_start+1)</f>
        <v>7</v>
      </c>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row>
    <row r="15" s="13" customFormat="1" ht="21.75" customHeight="1" spans="1:64">
      <c r="A15" s="19"/>
      <c r="B15" s="34" t="s">
        <v>18</v>
      </c>
      <c r="C15" s="35" t="s">
        <v>14</v>
      </c>
      <c r="D15" s="36">
        <v>1</v>
      </c>
      <c r="E15" s="78">
        <v>46244</v>
      </c>
      <c r="F15" s="79">
        <v>46250</v>
      </c>
      <c r="G15" s="69"/>
      <c r="H15" s="69">
        <f>IF(OR(ISBLANK(task_start),ISBLANK(task_end)),"",task_end-task_start+1)</f>
        <v>7</v>
      </c>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3"/>
    </row>
    <row r="16" s="13" customFormat="1" ht="21.75" customHeight="1" spans="1:64">
      <c r="A16" s="19"/>
      <c r="B16" s="34" t="s">
        <v>19</v>
      </c>
      <c r="C16" s="35" t="s">
        <v>14</v>
      </c>
      <c r="D16" s="36">
        <v>1</v>
      </c>
      <c r="E16" s="78">
        <v>46244</v>
      </c>
      <c r="F16" s="79">
        <v>46250</v>
      </c>
      <c r="G16" s="69"/>
      <c r="H16" s="69">
        <f>IF(OR(ISBLANK(task_start),ISBLANK(task_end)),"",task_end-task_start+1)</f>
        <v>7</v>
      </c>
      <c r="I16" s="113"/>
      <c r="J16" s="113"/>
      <c r="K16" s="113"/>
      <c r="L16" s="113"/>
      <c r="M16" s="113"/>
      <c r="N16" s="113"/>
      <c r="O16" s="113"/>
      <c r="P16" s="113"/>
      <c r="Q16" s="113"/>
      <c r="R16" s="113"/>
      <c r="S16" s="113"/>
      <c r="T16" s="113"/>
      <c r="U16" s="117"/>
      <c r="V16" s="117"/>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row>
    <row r="17" s="13" customFormat="1" ht="21.75" customHeight="1" spans="1:64">
      <c r="A17" s="19"/>
      <c r="B17" s="34" t="s">
        <v>20</v>
      </c>
      <c r="C17" s="35" t="s">
        <v>14</v>
      </c>
      <c r="D17" s="36">
        <v>1</v>
      </c>
      <c r="E17" s="78">
        <v>46244</v>
      </c>
      <c r="F17" s="79">
        <v>46250</v>
      </c>
      <c r="G17" s="69"/>
      <c r="H17" s="69">
        <f>IF(OR(ISBLANK(task_start),ISBLANK(task_end)),"",task_end-task_start+1)</f>
        <v>7</v>
      </c>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row>
    <row r="18" s="13" customFormat="1" ht="21.75" customHeight="1" spans="1:64">
      <c r="A18" s="19"/>
      <c r="B18" s="34"/>
      <c r="C18" s="35"/>
      <c r="D18" s="36"/>
      <c r="E18" s="80"/>
      <c r="F18" s="81"/>
      <c r="G18" s="69"/>
      <c r="H18" s="69" t="str">
        <f>IF(OR(ISBLANK(task_start),ISBLANK(task_end)),"",task_end-task_start+1)</f>
        <v/>
      </c>
      <c r="I18" s="113"/>
      <c r="J18" s="113"/>
      <c r="K18" s="113"/>
      <c r="L18" s="113"/>
      <c r="M18" s="113"/>
      <c r="N18" s="113"/>
      <c r="O18" s="113"/>
      <c r="P18" s="113"/>
      <c r="Q18" s="113"/>
      <c r="R18" s="113"/>
      <c r="S18" s="113"/>
      <c r="T18" s="113"/>
      <c r="U18" s="113"/>
      <c r="V18" s="113"/>
      <c r="W18" s="113"/>
      <c r="X18" s="113"/>
      <c r="Y18" s="117"/>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row>
    <row r="19" s="13" customFormat="1" ht="21.75" customHeight="1" spans="1:64">
      <c r="A19" s="19"/>
      <c r="B19" s="34"/>
      <c r="C19" s="35"/>
      <c r="D19" s="36"/>
      <c r="E19" s="80"/>
      <c r="F19" s="81"/>
      <c r="G19" s="69"/>
      <c r="H19" s="69" t="str">
        <f>IF(OR(ISBLANK(task_start),ISBLANK(task_end)),"",task_end-task_start+1)</f>
        <v/>
      </c>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13"/>
      <c r="BI19" s="113"/>
      <c r="BJ19" s="113"/>
      <c r="BK19" s="113"/>
      <c r="BL19" s="113"/>
    </row>
    <row r="20" s="13" customFormat="1" ht="21.75" customHeight="1" spans="1:64">
      <c r="A20" s="19"/>
      <c r="B20" s="37" t="s">
        <v>21</v>
      </c>
      <c r="C20" s="38"/>
      <c r="D20" s="39"/>
      <c r="E20" s="82">
        <v>46251</v>
      </c>
      <c r="F20" s="83">
        <v>46257</v>
      </c>
      <c r="G20" s="69"/>
      <c r="H20" s="69">
        <f>IF(OR(ISBLANK(task_start),ISBLANK(task_end)),"",task_end-task_start+1)</f>
        <v>7</v>
      </c>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row>
    <row r="21" s="13" customFormat="1" ht="21.75" customHeight="1" spans="1:64">
      <c r="A21" s="19"/>
      <c r="B21" s="40" t="s">
        <v>22</v>
      </c>
      <c r="C21" s="41" t="s">
        <v>14</v>
      </c>
      <c r="D21" s="42">
        <v>1</v>
      </c>
      <c r="E21" s="84">
        <v>46251</v>
      </c>
      <c r="F21" s="85">
        <v>46257</v>
      </c>
      <c r="G21" s="69"/>
      <c r="H21" s="69">
        <f>IF(OR(ISBLANK(task_start),ISBLANK(task_end)),"",task_end-task_start+1)</f>
        <v>7</v>
      </c>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13"/>
      <c r="BI21" s="113"/>
      <c r="BJ21" s="113"/>
      <c r="BK21" s="113"/>
      <c r="BL21" s="113"/>
    </row>
    <row r="22" s="13" customFormat="1" ht="21.75" customHeight="1" spans="1:64">
      <c r="A22" s="19"/>
      <c r="B22" s="40" t="s">
        <v>23</v>
      </c>
      <c r="C22" s="41" t="s">
        <v>14</v>
      </c>
      <c r="D22" s="42">
        <v>1</v>
      </c>
      <c r="E22" s="84">
        <v>46251</v>
      </c>
      <c r="F22" s="85">
        <v>46257</v>
      </c>
      <c r="G22" s="69"/>
      <c r="H22" s="69">
        <f>IF(OR(ISBLANK(task_start),ISBLANK(task_end)),"",task_end-task_start+1)</f>
        <v>7</v>
      </c>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row>
    <row r="23" s="13" customFormat="1" ht="21.75" customHeight="1" spans="1:64">
      <c r="A23" s="19"/>
      <c r="B23" s="40" t="s">
        <v>24</v>
      </c>
      <c r="C23" s="41" t="s">
        <v>14</v>
      </c>
      <c r="D23" s="42">
        <v>1</v>
      </c>
      <c r="E23" s="84">
        <v>46251</v>
      </c>
      <c r="F23" s="85">
        <v>46257</v>
      </c>
      <c r="G23" s="69"/>
      <c r="H23" s="69">
        <f>IF(OR(ISBLANK(task_start),ISBLANK(task_end)),"",task_end-task_start+1)</f>
        <v>7</v>
      </c>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row>
    <row r="24" s="13" customFormat="1" ht="21.75" customHeight="1" spans="1:64">
      <c r="A24" s="19"/>
      <c r="B24" s="40"/>
      <c r="C24" s="41"/>
      <c r="D24" s="42"/>
      <c r="E24" s="86"/>
      <c r="F24" s="87"/>
      <c r="G24" s="69"/>
      <c r="H24" s="69" t="str">
        <f>IF(OR(ISBLANK(task_start),ISBLANK(task_end)),"",task_end-task_start+1)</f>
        <v/>
      </c>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row>
    <row r="25" s="13" customFormat="1" ht="21.75" customHeight="1" spans="1:64">
      <c r="A25" s="19"/>
      <c r="B25" s="40"/>
      <c r="C25" s="41"/>
      <c r="D25" s="42"/>
      <c r="E25" s="86"/>
      <c r="F25" s="87"/>
      <c r="G25" s="69"/>
      <c r="H25" s="69" t="str">
        <f>IF(OR(ISBLANK(task_start),ISBLANK(task_end)),"",task_end-task_start+1)</f>
        <v/>
      </c>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row>
    <row r="26" s="13" customFormat="1" ht="21.75" customHeight="1" spans="1:64">
      <c r="A26" s="19"/>
      <c r="B26" s="43" t="s">
        <v>25</v>
      </c>
      <c r="C26" s="44"/>
      <c r="D26" s="45"/>
      <c r="E26" s="88">
        <v>46258</v>
      </c>
      <c r="F26" s="89">
        <v>46264</v>
      </c>
      <c r="G26" s="69"/>
      <c r="H26" s="69">
        <f>IF(OR(ISBLANK(task_start),ISBLANK(task_end)),"",task_end-task_start+1)</f>
        <v>7</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row>
    <row r="27" s="13" customFormat="1" ht="21.75" customHeight="1" spans="1:64">
      <c r="A27" s="19"/>
      <c r="B27" s="46" t="s">
        <v>26</v>
      </c>
      <c r="C27" s="47" t="s">
        <v>14</v>
      </c>
      <c r="D27" s="48">
        <v>1</v>
      </c>
      <c r="E27" s="90">
        <v>46258</v>
      </c>
      <c r="F27" s="91">
        <v>46264</v>
      </c>
      <c r="G27" s="69"/>
      <c r="H27" s="69">
        <f>IF(OR(ISBLANK(task_start),ISBLANK(task_end)),"",task_end-task_start+1)</f>
        <v>7</v>
      </c>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row>
    <row r="28" s="13" customFormat="1" ht="21.75" customHeight="1" spans="1:64">
      <c r="A28" s="19"/>
      <c r="B28" s="46" t="s">
        <v>27</v>
      </c>
      <c r="C28" s="47" t="s">
        <v>14</v>
      </c>
      <c r="D28" s="48">
        <v>1</v>
      </c>
      <c r="E28" s="90">
        <v>46258</v>
      </c>
      <c r="F28" s="91">
        <v>46264</v>
      </c>
      <c r="G28" s="69"/>
      <c r="H28" s="69">
        <f>IF(OR(ISBLANK(task_start),ISBLANK(task_end)),"",task_end-task_start+1)</f>
        <v>7</v>
      </c>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3"/>
    </row>
    <row r="29" s="13" customFormat="1" ht="21.75" customHeight="1" spans="1:64">
      <c r="A29" s="19"/>
      <c r="B29" s="46" t="s">
        <v>28</v>
      </c>
      <c r="C29" s="47" t="s">
        <v>14</v>
      </c>
      <c r="D29" s="48">
        <v>1</v>
      </c>
      <c r="E29" s="90">
        <v>46258</v>
      </c>
      <c r="F29" s="91">
        <v>46264</v>
      </c>
      <c r="G29" s="69"/>
      <c r="H29" s="69">
        <f>IF(OR(ISBLANK(task_start),ISBLANK(task_end)),"",task_end-task_start+1)</f>
        <v>7</v>
      </c>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row>
    <row r="30" s="13" customFormat="1" ht="21.75" customHeight="1" spans="1:64">
      <c r="A30" s="19"/>
      <c r="B30" s="46" t="s">
        <v>29</v>
      </c>
      <c r="C30" s="47" t="s">
        <v>14</v>
      </c>
      <c r="D30" s="48">
        <v>1</v>
      </c>
      <c r="E30" s="90">
        <v>46258</v>
      </c>
      <c r="F30" s="91">
        <v>46264</v>
      </c>
      <c r="G30" s="69"/>
      <c r="H30" s="69">
        <f>IF(OR(ISBLANK(task_start),ISBLANK(task_end)),"",task_end-task_start+1)</f>
        <v>7</v>
      </c>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3"/>
    </row>
    <row r="31" s="13" customFormat="1" ht="21.75" customHeight="1" spans="1:64">
      <c r="A31" s="19"/>
      <c r="B31" s="46"/>
      <c r="C31" s="47"/>
      <c r="D31" s="48"/>
      <c r="E31" s="92"/>
      <c r="F31" s="93"/>
      <c r="G31" s="69"/>
      <c r="H31" s="69" t="str">
        <f>IF(OR(ISBLANK(task_start),ISBLANK(task_end)),"",task_end-task_start+1)</f>
        <v/>
      </c>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c r="AO31" s="113"/>
      <c r="AP31" s="113"/>
      <c r="AQ31" s="113"/>
      <c r="AR31" s="113"/>
      <c r="AS31" s="113"/>
      <c r="AT31" s="113"/>
      <c r="AU31" s="113"/>
      <c r="AV31" s="113"/>
      <c r="AW31" s="113"/>
      <c r="AX31" s="113"/>
      <c r="AY31" s="113"/>
      <c r="AZ31" s="113"/>
      <c r="BA31" s="113"/>
      <c r="BB31" s="113"/>
      <c r="BC31" s="113"/>
      <c r="BD31" s="113"/>
      <c r="BE31" s="113"/>
      <c r="BF31" s="113"/>
      <c r="BG31" s="113"/>
      <c r="BH31" s="113"/>
      <c r="BI31" s="113"/>
      <c r="BJ31" s="113"/>
      <c r="BK31" s="113"/>
      <c r="BL31" s="113"/>
    </row>
    <row r="32" s="13" customFormat="1" ht="21.75" customHeight="1" spans="1:64">
      <c r="A32" s="19"/>
      <c r="B32" s="49" t="s">
        <v>30</v>
      </c>
      <c r="C32" s="50"/>
      <c r="D32" s="51"/>
      <c r="E32" s="94">
        <v>46265</v>
      </c>
      <c r="F32" s="95">
        <v>46271</v>
      </c>
      <c r="G32" s="69"/>
      <c r="H32" s="69">
        <f>IF(OR(ISBLANK(task_start),ISBLANK(task_end)),"",task_end-task_start+1)</f>
        <v>7</v>
      </c>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c r="BI32" s="113"/>
      <c r="BJ32" s="113"/>
      <c r="BK32" s="113"/>
      <c r="BL32" s="113"/>
    </row>
    <row r="33" s="13" customFormat="1" ht="21.75" customHeight="1" spans="1:64">
      <c r="A33" s="19"/>
      <c r="B33" s="52" t="s">
        <v>31</v>
      </c>
      <c r="C33" s="53" t="s">
        <v>14</v>
      </c>
      <c r="D33" s="54">
        <v>1</v>
      </c>
      <c r="E33" s="96">
        <v>46265</v>
      </c>
      <c r="F33" s="97">
        <v>46271</v>
      </c>
      <c r="G33" s="69"/>
      <c r="H33" s="69">
        <f>IF(OR(ISBLANK(task_start),ISBLANK(task_end)),"",task_end-task_start+1)</f>
        <v>7</v>
      </c>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3"/>
    </row>
    <row r="34" s="13" customFormat="1" ht="21.75" customHeight="1" spans="1:64">
      <c r="A34" s="19"/>
      <c r="B34" s="52" t="s">
        <v>32</v>
      </c>
      <c r="C34" s="53" t="s">
        <v>14</v>
      </c>
      <c r="D34" s="54">
        <v>1</v>
      </c>
      <c r="E34" s="96">
        <v>46265</v>
      </c>
      <c r="F34" s="97">
        <v>46271</v>
      </c>
      <c r="G34" s="69"/>
      <c r="H34" s="69">
        <f>IF(OR(ISBLANK(task_start),ISBLANK(task_end)),"",task_end-task_start+1)</f>
        <v>7</v>
      </c>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c r="AO34" s="113"/>
      <c r="AP34" s="113"/>
      <c r="AQ34" s="113"/>
      <c r="AR34" s="113"/>
      <c r="AS34" s="113"/>
      <c r="AT34" s="113"/>
      <c r="AU34" s="113"/>
      <c r="AV34" s="113"/>
      <c r="AW34" s="113"/>
      <c r="AX34" s="113"/>
      <c r="AY34" s="113"/>
      <c r="AZ34" s="113"/>
      <c r="BA34" s="113"/>
      <c r="BB34" s="113"/>
      <c r="BC34" s="113"/>
      <c r="BD34" s="113"/>
      <c r="BE34" s="113"/>
      <c r="BF34" s="113"/>
      <c r="BG34" s="113"/>
      <c r="BH34" s="113"/>
      <c r="BI34" s="113"/>
      <c r="BJ34" s="113"/>
      <c r="BK34" s="113"/>
      <c r="BL34" s="113"/>
    </row>
    <row r="35" s="13" customFormat="1" ht="21.75" customHeight="1" spans="1:64">
      <c r="A35" s="19"/>
      <c r="B35" s="52" t="s">
        <v>33</v>
      </c>
      <c r="C35" s="53" t="s">
        <v>14</v>
      </c>
      <c r="D35" s="54">
        <v>1</v>
      </c>
      <c r="E35" s="96">
        <v>46265</v>
      </c>
      <c r="F35" s="97">
        <v>46271</v>
      </c>
      <c r="G35" s="69"/>
      <c r="H35" s="69">
        <f>IF(OR(ISBLANK(task_start),ISBLANK(task_end)),"",task_end-task_start+1)</f>
        <v>7</v>
      </c>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3"/>
    </row>
    <row r="36" s="13" customFormat="1" ht="21.75" customHeight="1" spans="1:64">
      <c r="A36" s="19"/>
      <c r="B36" s="52" t="s">
        <v>34</v>
      </c>
      <c r="C36" s="53" t="s">
        <v>14</v>
      </c>
      <c r="D36" s="54">
        <v>1</v>
      </c>
      <c r="E36" s="96">
        <v>46265</v>
      </c>
      <c r="F36" s="97">
        <v>46271</v>
      </c>
      <c r="G36" s="69"/>
      <c r="H36" s="69">
        <f>IF(OR(ISBLANK(task_start),ISBLANK(task_end)),"",task_end-task_start+1)</f>
        <v>7</v>
      </c>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row>
    <row r="37" s="13" customFormat="1" ht="21.75" customHeight="1" spans="1:64">
      <c r="A37" s="19"/>
      <c r="B37" s="52"/>
      <c r="C37" s="53"/>
      <c r="D37" s="54"/>
      <c r="E37" s="98"/>
      <c r="F37" s="99"/>
      <c r="G37" s="69"/>
      <c r="H37" s="69" t="str">
        <f>IF(OR(ISBLANK(task_start),ISBLANK(task_end)),"",task_end-task_start+1)</f>
        <v/>
      </c>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3"/>
    </row>
    <row r="38" s="13" customFormat="1" ht="21.75" customHeight="1" spans="1:64">
      <c r="A38" s="19"/>
      <c r="B38" s="22" t="s">
        <v>35</v>
      </c>
      <c r="C38" s="23"/>
      <c r="D38" s="24"/>
      <c r="E38" s="100">
        <v>46272</v>
      </c>
      <c r="F38" s="101">
        <v>46278</v>
      </c>
      <c r="G38" s="69"/>
      <c r="H38" s="69">
        <f>IF(OR(ISBLANK(task_start),ISBLANK(task_end)),"",task_end-task_start+1)</f>
        <v>7</v>
      </c>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row>
    <row r="39" s="13" customFormat="1" ht="21.75" customHeight="1" spans="1:64">
      <c r="A39" s="19"/>
      <c r="B39" s="22" t="s">
        <v>36</v>
      </c>
      <c r="C39" s="23" t="s">
        <v>14</v>
      </c>
      <c r="D39" s="24">
        <v>0.5</v>
      </c>
      <c r="E39" s="100">
        <v>46272</v>
      </c>
      <c r="F39" s="101">
        <v>46278</v>
      </c>
      <c r="G39" s="69"/>
      <c r="H39" s="69">
        <f>IF(OR(ISBLANK(task_start),ISBLANK(task_end)),"",task_end-task_start+1)</f>
        <v>7</v>
      </c>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row>
    <row r="40" s="13" customFormat="1" ht="21.75" customHeight="1" spans="1:64">
      <c r="A40" s="19"/>
      <c r="B40" s="22" t="s">
        <v>37</v>
      </c>
      <c r="C40" s="23" t="s">
        <v>14</v>
      </c>
      <c r="D40" s="24">
        <v>0.5</v>
      </c>
      <c r="E40" s="100">
        <v>46272</v>
      </c>
      <c r="F40" s="101">
        <v>46278</v>
      </c>
      <c r="G40" s="69"/>
      <c r="H40" s="69">
        <f>IF(OR(ISBLANK(task_start),ISBLANK(task_end)),"",task_end-task_start+1)</f>
        <v>7</v>
      </c>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3"/>
    </row>
    <row r="41" s="13" customFormat="1" ht="21.75" customHeight="1" spans="1:64">
      <c r="A41" s="19"/>
      <c r="B41" s="55" t="s">
        <v>38</v>
      </c>
      <c r="C41" s="56"/>
      <c r="D41" s="57"/>
      <c r="E41" s="102"/>
      <c r="F41" s="103"/>
      <c r="G41" s="104"/>
      <c r="H41" s="104" t="str">
        <f>IF(OR(ISBLANK(task_start),ISBLANK(task_end)),"",task_end-task_start+1)</f>
        <v/>
      </c>
      <c r="I41" s="114"/>
      <c r="J41" s="114"/>
      <c r="K41" s="114"/>
      <c r="L41" s="114"/>
      <c r="M41" s="114"/>
      <c r="N41" s="114"/>
      <c r="O41" s="114"/>
      <c r="P41" s="114"/>
      <c r="Q41" s="114"/>
      <c r="R41" s="114"/>
      <c r="S41" s="114"/>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4"/>
      <c r="AY41" s="114"/>
      <c r="AZ41" s="114"/>
      <c r="BA41" s="114"/>
      <c r="BB41" s="114"/>
      <c r="BC41" s="114"/>
      <c r="BD41" s="114"/>
      <c r="BE41" s="114"/>
      <c r="BF41" s="114"/>
      <c r="BG41" s="114"/>
      <c r="BH41" s="114"/>
      <c r="BI41" s="114"/>
      <c r="BJ41" s="114"/>
      <c r="BK41" s="114"/>
      <c r="BL41" s="114"/>
    </row>
    <row r="42" spans="1:7">
      <c r="A42" s="18"/>
      <c r="B42" t="s">
        <v>39</v>
      </c>
      <c r="G42" s="18"/>
    </row>
    <row r="43" spans="2:6">
      <c r="B43" s="58" t="s">
        <v>40</v>
      </c>
      <c r="C43" s="58"/>
      <c r="F43" s="105">
        <v>43113</v>
      </c>
    </row>
    <row r="44" spans="2:3">
      <c r="B44" s="59" t="s">
        <v>41</v>
      </c>
      <c r="C44" s="60"/>
    </row>
    <row r="45" spans="2:2">
      <c r="B45" s="61" t="s">
        <v>42</v>
      </c>
    </row>
  </sheetData>
  <mergeCells count="11">
    <mergeCell ref="J1:AA1"/>
    <mergeCell ref="E2:F2"/>
    <mergeCell ref="E3:F3"/>
    <mergeCell ref="I4:O4"/>
    <mergeCell ref="P4:V4"/>
    <mergeCell ref="W4:AC4"/>
    <mergeCell ref="AD4:AJ4"/>
    <mergeCell ref="AK4:AQ4"/>
    <mergeCell ref="AR4:AX4"/>
    <mergeCell ref="AY4:BE4"/>
    <mergeCell ref="BF4:BL4"/>
  </mergeCells>
  <conditionalFormatting sqref="D7:D41">
    <cfRule type="dataBar" priority="12">
      <dataBar>
        <cfvo type="num" val="0"/>
        <cfvo type="num" val="1"/>
        <color theme="0" tint="-0.249977111117893"/>
      </dataBar>
      <extLst>
        <ext xmlns:x14="http://schemas.microsoft.com/office/spreadsheetml/2009/9/main" uri="{B025F937-C7B1-47D3-B67F-A62EFF666E3E}">
          <x14:id>{d6b83213-3711-4c1d-85b3-5c5309fe20f8}</x14:id>
        </ext>
      </extLst>
    </cfRule>
  </conditionalFormatting>
  <conditionalFormatting sqref="I5:BL41">
    <cfRule type="expression" dxfId="0" priority="27">
      <formula>AND(today&gt;=I$5,today&lt;I$5+1)</formula>
    </cfRule>
  </conditionalFormatting>
  <conditionalFormatting sqref="I7:BL41">
    <cfRule type="expression" dxfId="1" priority="25">
      <formula>AND(task_start&lt;=I$5,ROUNDDOWN((task_end-task_start+1)*task_progress,0)+task_start-1&gt;=I$5)</formula>
    </cfRule>
    <cfRule type="expression" dxfId="2"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formula1>1</formula1>
    </dataValidation>
  </dataValidations>
  <hyperlinks>
    <hyperlink ref="B43" r:id="rId3" display="SIMPLE GANTT CHART by Vertex42.com"/>
    <hyperlink ref="B44" r:id="rId4" display="https://www.vertex42.com/ExcelTemplates/simple-gantt-chart.html"/>
  </hyperlinks>
  <pageMargins left="0.35" right="0.35" top="0.35" bottom="0.5" header="0.3" footer="0.3"/>
  <pageSetup paperSize="1" scale="62" fitToHeight="0" orientation="landscape"/>
  <headerFooter/>
  <legacyDrawing r:id="rId2"/>
  <extLst>
    <ext xmlns:x14="http://schemas.microsoft.com/office/spreadsheetml/2009/9/main" uri="{78C0D931-6437-407d-A8EE-F0AAD7539E65}">
      <x14:conditionalFormattings>
        <x14:conditionalFormatting xmlns:xm="http://schemas.microsoft.com/office/excel/2006/main">
          <x14:cfRule type="dataBar" id="{d6b83213-3711-4c1d-85b3-5c5309fe20f8}">
            <x14:dataBar minLength="10" maxLength="90" negativeBarColorSameAsPositive="1" axisPosition="none">
              <x14:cfvo type="num">
                <xm:f>0</xm:f>
              </x14:cfvo>
              <x14:cfvo type="num">
                <xm:f>1</xm:f>
              </x14:cfvo>
              <x14:axisColor indexed="65"/>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22"/>
  <sheetViews>
    <sheetView showGridLines="0" workbookViewId="0">
      <selection activeCell="A1" sqref="A1"/>
    </sheetView>
  </sheetViews>
  <sheetFormatPr defaultColWidth="9" defaultRowHeight="14.4" outlineLevelCol="2"/>
  <cols>
    <col min="1" max="1" width="2.859375" style="4" customWidth="1"/>
    <col min="2" max="2" width="87.140625" style="5" customWidth="1"/>
    <col min="3" max="16384" width="9.140625" style="4" customWidth="1"/>
  </cols>
  <sheetData>
    <row r="1" ht="46.5" customHeight="1"/>
    <row r="2" s="1" customFormat="1" ht="15.75" customHeight="1" spans="2:3">
      <c r="B2" s="6" t="s">
        <v>40</v>
      </c>
      <c r="C2" s="6"/>
    </row>
    <row r="3" s="2" customFormat="1" ht="13.5" customHeight="1" spans="2:3">
      <c r="B3" s="7" t="s">
        <v>41</v>
      </c>
      <c r="C3" s="7"/>
    </row>
    <row r="4" spans="2:2">
      <c r="B4" s="8" t="s">
        <v>42</v>
      </c>
    </row>
    <row r="6" s="3" customFormat="1" ht="26.25" customHeight="1" spans="2:2">
      <c r="B6" s="9" t="s">
        <v>43</v>
      </c>
    </row>
    <row r="7" ht="60" customHeight="1" spans="2:2">
      <c r="B7" s="10" t="s">
        <v>44</v>
      </c>
    </row>
    <row r="8" ht="15" customHeight="1" spans="2:2">
      <c r="B8" s="11"/>
    </row>
    <row r="9" s="3" customFormat="1" ht="26.25" customHeight="1" spans="2:2">
      <c r="B9" s="9" t="s">
        <v>45</v>
      </c>
    </row>
    <row r="10" ht="60" customHeight="1" spans="2:2">
      <c r="B10" s="10" t="s">
        <v>46</v>
      </c>
    </row>
    <row r="11" ht="14.25" customHeight="1" spans="2:2">
      <c r="B11" s="12" t="s">
        <v>47</v>
      </c>
    </row>
    <row r="12" ht="15" customHeight="1" spans="2:2">
      <c r="B12" s="11"/>
    </row>
    <row r="13" ht="14.25" customHeight="1" spans="2:2">
      <c r="B13" s="12" t="str">
        <f>HYPERLINK("https://vertex42.link/HowToMakeAGanttChart","► Watch How This Gantt Chart Was Created")</f>
        <v>► Watch How This Gantt Chart Was Created</v>
      </c>
    </row>
    <row r="14" ht="15" customHeight="1" spans="2:2">
      <c r="B14" s="11"/>
    </row>
    <row r="15" s="3" customFormat="1" ht="26.25" customHeight="1" spans="2:2">
      <c r="B15" s="9" t="s">
        <v>48</v>
      </c>
    </row>
    <row r="16" ht="30" customHeight="1" spans="2:2">
      <c r="B16" s="10" t="s">
        <v>49</v>
      </c>
    </row>
    <row r="17" ht="14.25" customHeight="1" spans="2:2">
      <c r="B17" s="12" t="s">
        <v>50</v>
      </c>
    </row>
    <row r="18" ht="15" customHeight="1" spans="2:2">
      <c r="B18" s="11"/>
    </row>
    <row r="19" s="3" customFormat="1" ht="26.25" customHeight="1" spans="2:2">
      <c r="B19" s="9" t="s">
        <v>51</v>
      </c>
    </row>
    <row r="20" ht="60" customHeight="1" spans="2:2">
      <c r="B20" s="10" t="s">
        <v>52</v>
      </c>
    </row>
    <row r="21" ht="15" customHeight="1" spans="2:2">
      <c r="B21" s="11"/>
    </row>
    <row r="22" ht="75" customHeight="1" spans="2:2">
      <c r="B22" s="10" t="s">
        <v>53</v>
      </c>
    </row>
  </sheetData>
  <hyperlinks>
    <hyperlink ref="B2" r:id="rId2" display="SIMPLE GANTT CHART by Vertex42.com"/>
    <hyperlink ref="B3" r:id="rId3" display="https://www.vertex42.com/ExcelTemplates/simple-gantt-chart.html"/>
    <hyperlink ref="B11" r:id="rId4" display="How to Use the Simple Gantt Chart"/>
    <hyperlink ref="B17" r:id="rId5" display="Project Management Templates"/>
  </hyperlinks>
  <pageMargins left="0.5" right="0.5" top="0.5" bottom="0.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ProjectSchedule</vt:lpstr>
      <vt:lpstr>About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WPS_1735490204</cp:lastModifiedBy>
  <dcterms:created xsi:type="dcterms:W3CDTF">2017-01-09T23:31:00Z</dcterms:created>
  <cp:lastPrinted>2019-04-24T20:09:00Z</cp:lastPrinted>
  <dcterms:modified xsi:type="dcterms:W3CDTF">2026-09-09T03:55:08Z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ICV">
    <vt:lpwstr>4D95D0CC3681D5A8448BA06A14F12972_42</vt:lpwstr>
  </property>
  <property fmtid="{D5CDD505-2E9C-101B-9397-08002B2CF9AE}" pid="6" name="KSOProductBuildVer">
    <vt:lpwstr>1033-6.10.2.8397</vt:lpwstr>
  </property>
</Properties>
</file>